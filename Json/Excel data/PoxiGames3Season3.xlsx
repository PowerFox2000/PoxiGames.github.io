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<sst xmlns="http://schemas.openxmlformats.org/spreadsheetml/2006/main" count="39" uniqueCount="32">
  <si>
    <t xml:space="preserve">Multiplier</t>
  </si>
  <si>
    <t xml:space="preserve">Event</t>
  </si>
  <si>
    <t xml:space="preserve">General</t>
  </si>
  <si>
    <t xml:space="preserve">Season 3</t>
  </si>
  <si>
    <t xml:space="preserve">Poxi Games 3</t>
  </si>
  <si>
    <t xml:space="preserve">Minigame</t>
  </si>
  <si>
    <t xml:space="preserve">Total Points</t>
  </si>
  <si>
    <t xml:space="preserve">Race</t>
  </si>
  <si>
    <t xml:space="preserve">Hunt</t>
  </si>
  <si>
    <t xml:space="preserve">Battle</t>
  </si>
  <si>
    <t xml:space="preserve">Heist</t>
  </si>
  <si>
    <t xml:space="preserve">Extraction</t>
  </si>
  <si>
    <t xml:space="preserve">Pirates</t>
  </si>
  <si>
    <t xml:space="preserve">Don't Fall</t>
  </si>
  <si>
    <t xml:space="preserve">Spleef</t>
  </si>
  <si>
    <t xml:space="preserve">Little_Fox_2000</t>
  </si>
  <si>
    <t xml:space="preserve">Red</t>
  </si>
  <si>
    <t xml:space="preserve">Dragon_Sam</t>
  </si>
  <si>
    <t xml:space="preserve">Blue</t>
  </si>
  <si>
    <t xml:space="preserve">5tqf</t>
  </si>
  <si>
    <t xml:space="preserve">Purple</t>
  </si>
  <si>
    <t xml:space="preserve">Caelan1205</t>
  </si>
  <si>
    <t xml:space="preserve">CheetahTD</t>
  </si>
  <si>
    <t xml:space="preserve">Xernas78</t>
  </si>
  <si>
    <t xml:space="preserve">oIsar</t>
  </si>
  <si>
    <t xml:space="preserve">Green → Red (ragequit)</t>
  </si>
  <si>
    <t xml:space="preserve">Sneaky200</t>
  </si>
  <si>
    <t xml:space="preserve">WildYTHerobrine</t>
  </si>
  <si>
    <t xml:space="preserve">_saco</t>
  </si>
  <si>
    <t xml:space="preserve">Green</t>
  </si>
  <si>
    <t xml:space="preserve">Soulgregory345</t>
  </si>
  <si>
    <t xml:space="preserve">_someonelse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</si>
</sst>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sz val="11"/>
      <color theme="3" tint="0.4999"/>
      <name val="Aptos Narrow"/>
      <family val="2"/>
      <charset val="1"/>
    </font>
    <font>
      <sz val="11"/>
      <color theme="8" tint="-0.25"/>
      <name val="Aptos Narrow"/>
      <family val="2"/>
      <charset val="1"/>
    </font>
    <font>
      <sz val="11"/>
      <color theme="9" tint="0.3999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4"/>
  </cols>
  <sheetData>
    <row r="1" customFormat="false" ht="15" hidden="false" customHeight="false" outlineLevel="0" collapsed="false">
      <c r="A1" s="1" t="s">
        <v>0</v>
      </c>
      <c r="C1" s="1" t="n">
        <v>1</v>
      </c>
      <c r="D1" s="1" t="n">
        <v>2.5</v>
      </c>
      <c r="E1" s="1" t="n">
        <v>1</v>
      </c>
      <c r="F1" s="1" t="n">
        <v>2</v>
      </c>
      <c r="G1" s="1" t="n">
        <v>1.5</v>
      </c>
      <c r="H1" s="1" t="n">
        <v>1</v>
      </c>
      <c r="I1" s="1" t="n">
        <v>3</v>
      </c>
      <c r="J1" s="1" t="n">
        <v>1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</row>
    <row r="4" customFormat="false" ht="15" hidden="false" customHeight="false" outlineLevel="0" collapsed="false">
      <c r="A4" s="4" t="s">
        <v>15</v>
      </c>
      <c r="B4" s="1" t="n">
        <f aca="false">C4*C$1+D4</f>
        <v>1556</v>
      </c>
      <c r="C4" s="1" t="n">
        <v>854</v>
      </c>
      <c r="D4" s="1" t="n">
        <v>702</v>
      </c>
      <c r="E4" s="1" t="n">
        <v>609</v>
      </c>
      <c r="F4" s="1" t="n">
        <v>943</v>
      </c>
      <c r="G4" s="1" t="n">
        <v>1505</v>
      </c>
      <c r="H4" s="1" t="n">
        <v>1440</v>
      </c>
      <c r="I4" s="1" t="n">
        <v>850</v>
      </c>
      <c r="J4" s="1" t="n">
        <v>274</v>
      </c>
      <c r="K4" s="1" t="n">
        <v>1</v>
      </c>
      <c r="L4" s="1" t="s">
        <v>16</v>
      </c>
    </row>
    <row r="5" customFormat="false" ht="15" hidden="false" customHeight="false" outlineLevel="0" collapsed="false">
      <c r="A5" s="5" t="s">
        <v>17</v>
      </c>
      <c r="B5" s="1" t="n">
        <f aca="false">ROUND(C5*$C$201+D5*$D$201+E5*$E$201+F5*$F$201+G5*$G$201+H5*$H$201+I5*$I$201+J5*$J$201,0)</f>
        <v>0</v>
      </c>
      <c r="C5" s="1" t="n">
        <v>433</v>
      </c>
      <c r="D5" s="1" t="n">
        <v>708</v>
      </c>
      <c r="E5" s="1" t="n">
        <v>752</v>
      </c>
      <c r="F5" s="1" t="n">
        <v>645</v>
      </c>
      <c r="G5" s="1" t="n">
        <v>640</v>
      </c>
      <c r="H5" s="1" t="n">
        <v>1345</v>
      </c>
      <c r="I5" s="1" t="n">
        <v>700</v>
      </c>
      <c r="J5" s="1" t="n">
        <v>536</v>
      </c>
      <c r="K5" s="1" t="n">
        <v>2</v>
      </c>
      <c r="L5" s="1" t="s">
        <v>18</v>
      </c>
    </row>
    <row r="6" customFormat="false" ht="15" hidden="false" customHeight="false" outlineLevel="0" collapsed="false">
      <c r="A6" s="6" t="s">
        <v>19</v>
      </c>
      <c r="B6" s="1" t="n">
        <f aca="false">ROUND(C6*$C$201+D6*$D$201+E6*$E$201+F6*$F$201+G6*$G$201+H6*$H$201+I6*$I$201+J6*$J$201,0)</f>
        <v>0</v>
      </c>
      <c r="C6" s="1" t="n">
        <v>482</v>
      </c>
      <c r="D6" s="1" t="n">
        <v>748</v>
      </c>
      <c r="E6" s="1" t="n">
        <v>1032</v>
      </c>
      <c r="F6" s="1" t="n">
        <v>300</v>
      </c>
      <c r="G6" s="1" t="n">
        <v>755</v>
      </c>
      <c r="H6" s="1" t="n">
        <v>1698</v>
      </c>
      <c r="I6" s="1" t="n">
        <v>400</v>
      </c>
      <c r="J6" s="1" t="n">
        <v>612</v>
      </c>
      <c r="K6" s="1" t="n">
        <v>3</v>
      </c>
      <c r="L6" s="1" t="s">
        <v>20</v>
      </c>
    </row>
    <row r="7" customFormat="false" ht="15" hidden="false" customHeight="false" outlineLevel="0" collapsed="false">
      <c r="A7" s="6" t="s">
        <v>21</v>
      </c>
      <c r="B7" s="1" t="n">
        <f aca="false">ROUND(C7*$C$201+D7*$D$201+E7*$E$201+F7*$F$201+G7*$G$201+H7*$H$201+I7*$I$201+J7*$J$201,0)</f>
        <v>0</v>
      </c>
      <c r="C7" s="1" t="n">
        <v>528</v>
      </c>
      <c r="D7" s="1" t="n">
        <v>754</v>
      </c>
      <c r="E7" s="1" t="n">
        <v>1286</v>
      </c>
      <c r="F7" s="1" t="n">
        <v>425</v>
      </c>
      <c r="G7" s="1" t="n">
        <v>940</v>
      </c>
      <c r="H7" s="1" t="n">
        <v>850</v>
      </c>
      <c r="I7" s="1" t="n">
        <v>200</v>
      </c>
      <c r="J7" s="1" t="n">
        <v>252</v>
      </c>
      <c r="K7" s="1" t="n">
        <v>4</v>
      </c>
      <c r="L7" s="1" t="s">
        <v>20</v>
      </c>
    </row>
    <row r="8" customFormat="false" ht="15" hidden="false" customHeight="false" outlineLevel="0" collapsed="false">
      <c r="A8" s="5" t="s">
        <v>22</v>
      </c>
      <c r="B8" s="1" t="n">
        <f aca="false">ROUND(C8*$C$201+D8*$D$201+E8*$E$201+F8*$F$201+G8*$G$201+H8*$H$201+I8*$I$201+J8*$J$201,0)</f>
        <v>0</v>
      </c>
      <c r="C8" s="1" t="n">
        <v>297</v>
      </c>
      <c r="D8" s="1" t="n">
        <v>618</v>
      </c>
      <c r="E8" s="1" t="n">
        <v>193</v>
      </c>
      <c r="F8" s="1" t="n">
        <v>242</v>
      </c>
      <c r="G8" s="1" t="n">
        <v>345</v>
      </c>
      <c r="H8" s="1" t="n">
        <v>1090</v>
      </c>
      <c r="I8" s="1" t="n">
        <v>600</v>
      </c>
      <c r="J8" s="1" t="n">
        <v>1154</v>
      </c>
      <c r="K8" s="1" t="n">
        <v>5</v>
      </c>
      <c r="L8" s="1" t="s">
        <v>18</v>
      </c>
    </row>
    <row r="9" customFormat="false" ht="15" hidden="false" customHeight="false" outlineLevel="0" collapsed="false">
      <c r="A9" s="4" t="s">
        <v>23</v>
      </c>
      <c r="B9" s="1" t="n">
        <f aca="false">ROUND(C9*$C$201+D9*$D$201+E9*$E$201+F9*$F$201+G9*$G$201+H9*$H$201+I9*$I$201+J9*$J$201,0)</f>
        <v>0</v>
      </c>
      <c r="C9" s="1" t="n">
        <v>391</v>
      </c>
      <c r="D9" s="1" t="n">
        <v>264</v>
      </c>
      <c r="E9" s="1" t="n">
        <v>298</v>
      </c>
      <c r="F9" s="1" t="n">
        <v>506</v>
      </c>
      <c r="G9" s="1" t="n">
        <v>985</v>
      </c>
      <c r="H9" s="1" t="n">
        <v>120</v>
      </c>
      <c r="I9" s="1" t="n">
        <v>500</v>
      </c>
      <c r="J9" s="1" t="n">
        <v>200</v>
      </c>
      <c r="K9" s="1" t="n">
        <v>6</v>
      </c>
      <c r="L9" s="1" t="s">
        <v>16</v>
      </c>
    </row>
    <row r="10" customFormat="false" ht="15" hidden="false" customHeight="false" outlineLevel="0" collapsed="false">
      <c r="A10" s="1" t="s">
        <v>24</v>
      </c>
      <c r="B10" s="1" t="n">
        <f aca="false">ROUND(C10*$C$201+D10*$D$201+E10*$E$201+F10*$F$201+G10*$G$201+H10*$H$201+I10*$I$201+J10*$J$201,0)</f>
        <v>0</v>
      </c>
      <c r="C10" s="1" t="n">
        <v>55</v>
      </c>
      <c r="D10" s="1" t="n">
        <v>0</v>
      </c>
      <c r="E10" s="1" t="n">
        <v>696</v>
      </c>
      <c r="F10" s="1" t="n">
        <v>513</v>
      </c>
      <c r="G10" s="1" t="n">
        <v>975</v>
      </c>
      <c r="H10" s="1" t="n">
        <v>795</v>
      </c>
      <c r="I10" s="1" t="n">
        <v>300</v>
      </c>
      <c r="J10" s="1" t="n">
        <v>668</v>
      </c>
      <c r="K10" s="1" t="n">
        <v>7</v>
      </c>
      <c r="L10" s="1" t="s">
        <v>25</v>
      </c>
    </row>
    <row r="11" customFormat="false" ht="15" hidden="false" customHeight="false" outlineLevel="0" collapsed="false">
      <c r="A11" s="6" t="s">
        <v>26</v>
      </c>
      <c r="B11" s="1" t="n">
        <f aca="false">ROUND(C11*$C$201+D11*$D$201+E11*$E$201+F11*$F$201+G11*$G$201+H11*$H$201+I11*$I$201+J11*$J$201,0)</f>
        <v>0</v>
      </c>
      <c r="C11" s="1" t="n">
        <v>219</v>
      </c>
      <c r="D11" s="1" t="n">
        <v>780</v>
      </c>
      <c r="E11" s="1" t="n">
        <v>103</v>
      </c>
      <c r="F11" s="1" t="n">
        <v>239</v>
      </c>
      <c r="G11" s="1" t="n">
        <v>745</v>
      </c>
      <c r="H11" s="1" t="n">
        <v>125</v>
      </c>
      <c r="I11" s="1" t="n">
        <v>300</v>
      </c>
      <c r="J11" s="1" t="n">
        <v>538</v>
      </c>
      <c r="K11" s="1" t="n">
        <v>8</v>
      </c>
      <c r="L11" s="1" t="s">
        <v>20</v>
      </c>
    </row>
    <row r="12" customFormat="false" ht="15" hidden="false" customHeight="false" outlineLevel="0" collapsed="false">
      <c r="A12" s="5" t="s">
        <v>27</v>
      </c>
      <c r="B12" s="1" t="n">
        <f aca="false">ROUND(C12*$C$201+D12*$D$201+E12*$E$201+F12*$F$201+G12*$G$201+H12*$H$201+I12*$I$201+J12*$J$201,0)</f>
        <v>0</v>
      </c>
      <c r="C12" s="1" t="n">
        <v>33</v>
      </c>
      <c r="D12" s="1" t="n">
        <v>522</v>
      </c>
      <c r="E12" s="1" t="n">
        <v>218</v>
      </c>
      <c r="F12" s="1" t="n">
        <v>138</v>
      </c>
      <c r="G12" s="1" t="n">
        <v>310</v>
      </c>
      <c r="H12" s="1" t="n">
        <v>180</v>
      </c>
      <c r="I12" s="1" t="n">
        <v>400</v>
      </c>
      <c r="J12" s="1" t="n">
        <v>584</v>
      </c>
      <c r="K12" s="1" t="n">
        <v>9</v>
      </c>
      <c r="L12" s="1" t="s">
        <v>18</v>
      </c>
    </row>
    <row r="13" customFormat="false" ht="15" hidden="false" customHeight="false" outlineLevel="0" collapsed="false">
      <c r="A13" s="7" t="s">
        <v>28</v>
      </c>
      <c r="B13" s="1" t="n">
        <f aca="false">ROUND(C13*$C$201+D13*$D$201+E13*$E$201+F13*$F$201+G13*$G$201+H13*$H$201+I13*$I$201+J13*$J$201,0)</f>
        <v>0</v>
      </c>
      <c r="C13" s="1" t="n">
        <v>29</v>
      </c>
      <c r="D13" s="1" t="n">
        <v>638</v>
      </c>
      <c r="E13" s="1" t="n">
        <v>232</v>
      </c>
      <c r="F13" s="1" t="n">
        <v>221</v>
      </c>
      <c r="G13" s="1" t="n">
        <v>350</v>
      </c>
      <c r="H13" s="1" t="n">
        <v>850</v>
      </c>
      <c r="I13" s="1" t="n">
        <v>100</v>
      </c>
      <c r="J13" s="1" t="n">
        <v>148</v>
      </c>
      <c r="K13" s="1" t="n">
        <v>10</v>
      </c>
      <c r="L13" s="1" t="s">
        <v>29</v>
      </c>
    </row>
    <row r="14" customFormat="false" ht="15" hidden="false" customHeight="false" outlineLevel="0" collapsed="false">
      <c r="A14" s="7" t="s">
        <v>30</v>
      </c>
      <c r="B14" s="1" t="n">
        <f aca="false">ROUND(C14*$C$201+D14*$D$201+E14*$E$201+F14*$F$201+G14*$G$201+H14*$H$201+I14*$I$201+J14*$J$201,0)</f>
        <v>0</v>
      </c>
      <c r="C14" s="1" t="n">
        <v>81</v>
      </c>
      <c r="D14" s="1" t="n">
        <v>364</v>
      </c>
      <c r="E14" s="1" t="n">
        <v>175</v>
      </c>
      <c r="F14" s="1" t="n">
        <v>232</v>
      </c>
      <c r="G14" s="1" t="n">
        <v>310</v>
      </c>
      <c r="H14" s="1" t="n">
        <v>365</v>
      </c>
      <c r="I14" s="1" t="n">
        <v>300</v>
      </c>
      <c r="J14" s="1" t="n">
        <v>298</v>
      </c>
      <c r="K14" s="1" t="n">
        <v>11</v>
      </c>
      <c r="L14" s="1" t="s">
        <v>29</v>
      </c>
    </row>
    <row r="15" customFormat="false" ht="15" hidden="false" customHeight="false" outlineLevel="0" collapsed="false">
      <c r="A15" s="7" t="s">
        <v>31</v>
      </c>
      <c r="B15" s="1" t="n">
        <f aca="false">ROUND(C15*$C$201+D15*$D$201+E15*$E$201+F15*$F$201+G15*$G$201+H15*$H$201+I15*$I$201+J15*$J$201,0)</f>
        <v>0</v>
      </c>
      <c r="C15" s="1" t="n">
        <v>0</v>
      </c>
      <c r="D15" s="1" t="n">
        <v>564</v>
      </c>
      <c r="E15" s="1" t="n">
        <v>0</v>
      </c>
      <c r="F15" s="1" t="n">
        <v>87</v>
      </c>
      <c r="G15" s="1" t="n">
        <v>200</v>
      </c>
      <c r="H15" s="1" t="n">
        <v>0</v>
      </c>
      <c r="I15" s="1" t="n">
        <v>0</v>
      </c>
      <c r="J15" s="1" t="n">
        <v>0</v>
      </c>
      <c r="K15" s="1" t="n">
        <v>12</v>
      </c>
      <c r="L15" s="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2026-03-31T19:16:21Z</dcterms:created>
  <dc:creator>Boris GENRE</dc:creator>
  <dc:description/>
  <dc:language>en-GB</dc:language>
  <cp:lastModifiedBy/>
  <dcterms:modified xsi:type="dcterms:W3CDTF">2026-04-03T17:01:22Z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